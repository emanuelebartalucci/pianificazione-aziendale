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.ballerini\Desktop\HR\DOC. PER GESTIONE RISORSE INTERNE\COLLABORATORI\"/>
    </mc:Choice>
  </mc:AlternateContent>
  <xr:revisionPtr revIDLastSave="0" documentId="13_ncr:1_{0B9CD57A-7E91-495D-817E-F363269F4599}" xr6:coauthVersionLast="47" xr6:coauthVersionMax="47" xr10:uidLastSave="{00000000-0000-0000-0000-000000000000}"/>
  <bookViews>
    <workbookView xWindow="28680" yWindow="-120" windowWidth="29040" windowHeight="15720" xr2:uid="{D651378D-F919-4F34-8B34-21B0A5E485D0}"/>
  </bookViews>
  <sheets>
    <sheet name="2025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1" l="1"/>
  <c r="E11" i="1" s="1"/>
  <c r="E3" i="1"/>
  <c r="E19" i="1" l="1"/>
  <c r="E15" i="1"/>
  <c r="E17" i="1" s="1"/>
  <c r="E13" i="1"/>
  <c r="E22" i="1" l="1"/>
</calcChain>
</file>

<file path=xl/sharedStrings.xml><?xml version="1.0" encoding="utf-8"?>
<sst xmlns="http://schemas.openxmlformats.org/spreadsheetml/2006/main" count="16" uniqueCount="16">
  <si>
    <t>MESE</t>
  </si>
  <si>
    <t>GIORNATE</t>
  </si>
  <si>
    <t>COMPENSO GIORNALIERO</t>
  </si>
  <si>
    <t>COMPENSO MENSILE</t>
  </si>
  <si>
    <t>nov</t>
  </si>
  <si>
    <t>gg di ferie/malattia</t>
  </si>
  <si>
    <t>lavorativi</t>
  </si>
  <si>
    <t>spese</t>
  </si>
  <si>
    <t>km</t>
  </si>
  <si>
    <t>€/km</t>
  </si>
  <si>
    <t>Rimborso km</t>
  </si>
  <si>
    <t>Totale compenso</t>
  </si>
  <si>
    <t>4% INPS</t>
  </si>
  <si>
    <t>22% IVA</t>
  </si>
  <si>
    <t>20% R.A.</t>
  </si>
  <si>
    <t>TOTALE DOVUTO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</si>
</sst>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&quot;€&quot;\ * #,##0.00_-;\-&quot;€&quot;\ * #,##0.00_-;_-&quot;€&quot;\ * &quot;-&quot;??_-;_-@_-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5">
    <xf numFmtId="0" fontId="0" fillId="0" borderId="0" xfId="0"/>
    <xf numFmtId="0" fontId="3" fillId="0" borderId="1" xfId="0" applyFont="1" applyBorder="1" applyAlignment="1">
      <alignment horizontal="center" vertical="center"/>
    </xf>
    <xf numFmtId="164" fontId="3" fillId="0" borderId="1" xfId="1" applyFont="1" applyFill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/>
    </xf>
    <xf numFmtId="164" fontId="3" fillId="0" borderId="1" xfId="1" applyFont="1" applyFill="1" applyBorder="1"/>
    <xf numFmtId="164" fontId="4" fillId="0" borderId="1" xfId="0" applyNumberFormat="1" applyFont="1" applyBorder="1"/>
    <xf numFmtId="164" fontId="2" fillId="0" borderId="1" xfId="1" applyFont="1" applyFill="1" applyBorder="1"/>
    <xf numFmtId="164" fontId="5" fillId="0" borderId="1" xfId="0" applyNumberFormat="1" applyFont="1" applyBorder="1"/>
    <xf numFmtId="165" fontId="3" fillId="0" borderId="1" xfId="0" applyNumberFormat="1" applyFont="1" applyBorder="1"/>
    <xf numFmtId="0" fontId="3" fillId="0" borderId="1" xfId="0" applyFont="1" applyBorder="1"/>
    <xf numFmtId="44" fontId="0" fillId="0" borderId="0" xfId="0" applyNumberFormat="1"/>
    <xf numFmtId="0" fontId="3" fillId="0" borderId="1" xfId="0" applyFont="1" applyBorder="1" applyAlignment="1">
      <alignment horizontal="center"/>
    </xf>
    <xf numFmtId="164" fontId="3" fillId="0" borderId="1" xfId="1" applyFont="1" applyFill="1" applyBorder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0" fillId="0" borderId="1" xfId="0" applyBorder="1"/>
    <xf numFmtId="1" fontId="3" fillId="0" borderId="1" xfId="0" applyNumberFormat="1" applyFont="1" applyBorder="1" applyAlignment="1">
      <alignment horizontal="center" vertical="center"/>
    </xf>
    <xf numFmtId="44" fontId="0" fillId="0" borderId="1" xfId="0" applyNumberFormat="1" applyBorder="1"/>
    <xf numFmtId="164" fontId="4" fillId="0" borderId="1" xfId="1" applyFont="1" applyFill="1" applyBorder="1" applyAlignment="1">
      <alignment horizontal="left" vertical="center" wrapText="1"/>
    </xf>
    <xf numFmtId="164" fontId="4" fillId="0" borderId="1" xfId="1" applyFont="1" applyFill="1" applyBorder="1" applyAlignment="1">
      <alignment horizontal="center" vertical="center" wrapText="1"/>
    </xf>
    <xf numFmtId="164" fontId="0" fillId="0" borderId="0" xfId="0" applyNumberFormat="1"/>
    <xf numFmtId="0" fontId="4" fillId="0" borderId="1" xfId="0" applyFont="1" applyBorder="1"/>
    <xf numFmtId="164" fontId="3" fillId="0" borderId="1" xfId="0" applyNumberFormat="1" applyFont="1" applyBorder="1"/>
    <xf numFmtId="164" fontId="4" fillId="2" borderId="1" xfId="0" applyNumberFormat="1" applyFont="1" applyFill="1" applyBorder="1"/>
    <xf numFmtId="164" fontId="0" fillId="0" borderId="0" xfId="1" applyFont="1"/>
    <xf numFmtId="17" fontId="3" fillId="0" borderId="1" xfId="0" applyNumberFormat="1" applyFont="1" applyBorder="1" applyAlignment="1">
      <alignment horizontal="center" vertical="center"/>
    </xf>
  </cellXfs>
  <cellStyles count="2"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F9E90-2BB3-4A29-A25B-D18DA9E1C79E}">
  <dimension ref="B2:K22"/>
  <sheetViews>
    <sheetView tabSelected="1" zoomScale="115" zoomScaleNormal="115" workbookViewId="0">
      <pane ySplit="1" topLeftCell="A2" activePane="bottomLeft" state="frozen"/>
      <selection pane="bottomLeft" activeCell="J8" sqref="J8"/>
    </sheetView>
  </sheetViews>
  <sheetFormatPr defaultRowHeight="14.4" x14ac:dyDescent="0.3"/>
  <cols>
    <col min="3" max="3" width="12.21875" customWidth="1"/>
    <col min="4" max="4" width="13.21875" style="23" customWidth="1"/>
    <col min="5" max="5" width="18.21875" bestFit="1" customWidth="1"/>
    <col min="6" max="6" width="10.5546875" customWidth="1"/>
    <col min="11" max="11" width="11.21875" bestFit="1" customWidth="1"/>
  </cols>
  <sheetData>
    <row r="2" spans="2:11" ht="28.8" x14ac:dyDescent="0.3">
      <c r="B2" s="1" t="s">
        <v>0</v>
      </c>
      <c r="C2" s="1" t="s">
        <v>1</v>
      </c>
      <c r="D2" s="2" t="s">
        <v>2</v>
      </c>
      <c r="E2" s="2" t="s">
        <v>3</v>
      </c>
    </row>
    <row r="3" spans="2:11" x14ac:dyDescent="0.3">
      <c r="B3" s="24" t="s">
        <v>4</v>
      </c>
      <c r="C3" s="3">
        <v>21</v>
      </c>
      <c r="D3" s="4">
        <v>150</v>
      </c>
      <c r="E3" s="5">
        <f>D3*C3</f>
        <v>3150</v>
      </c>
    </row>
    <row r="4" spans="2:11" x14ac:dyDescent="0.3">
      <c r="B4" s="24"/>
      <c r="C4" s="3"/>
      <c r="D4" s="6"/>
      <c r="E4" s="7"/>
    </row>
    <row r="5" spans="2:11" x14ac:dyDescent="0.3">
      <c r="B5" s="24"/>
      <c r="C5" s="8"/>
      <c r="D5" s="4" t="s">
        <v>5</v>
      </c>
      <c r="E5" s="5"/>
    </row>
    <row r="6" spans="2:11" x14ac:dyDescent="0.3">
      <c r="B6" s="24"/>
      <c r="C6" s="9"/>
      <c r="D6" s="4" t="s">
        <v>6</v>
      </c>
      <c r="E6" s="5"/>
      <c r="K6" s="10"/>
    </row>
    <row r="7" spans="2:11" x14ac:dyDescent="0.3">
      <c r="B7" s="24"/>
      <c r="C7" s="11" t="s">
        <v>7</v>
      </c>
      <c r="D7" s="4"/>
      <c r="E7" s="5"/>
      <c r="K7" s="10"/>
    </row>
    <row r="8" spans="2:11" x14ac:dyDescent="0.3">
      <c r="B8" s="24"/>
      <c r="C8" s="9"/>
      <c r="D8" s="12"/>
      <c r="E8" s="5"/>
      <c r="K8" s="10"/>
    </row>
    <row r="9" spans="2:11" x14ac:dyDescent="0.3">
      <c r="B9" s="24"/>
      <c r="C9" s="1" t="s">
        <v>8</v>
      </c>
      <c r="D9" s="13" t="s">
        <v>9</v>
      </c>
      <c r="E9" s="14"/>
      <c r="K9" s="10"/>
    </row>
    <row r="10" spans="2:11" x14ac:dyDescent="0.3">
      <c r="B10" s="24"/>
      <c r="C10" s="15"/>
      <c r="D10" s="4">
        <v>0.3</v>
      </c>
      <c r="E10" s="16">
        <f>C10*D10</f>
        <v>0</v>
      </c>
      <c r="K10" s="10"/>
    </row>
    <row r="11" spans="2:11" x14ac:dyDescent="0.3">
      <c r="B11" s="24"/>
      <c r="C11" s="9"/>
      <c r="D11" s="17" t="s">
        <v>10</v>
      </c>
      <c r="E11" s="5">
        <f>SUM(E10)</f>
        <v>0</v>
      </c>
      <c r="K11" s="10"/>
    </row>
    <row r="12" spans="2:11" x14ac:dyDescent="0.3">
      <c r="B12" s="24"/>
      <c r="C12" s="9"/>
      <c r="D12" s="18"/>
      <c r="E12" s="5"/>
      <c r="K12" s="19"/>
    </row>
    <row r="13" spans="2:11" ht="28.8" x14ac:dyDescent="0.3">
      <c r="B13" s="24"/>
      <c r="C13" s="9"/>
      <c r="D13" s="18" t="s">
        <v>11</v>
      </c>
      <c r="E13" s="5">
        <f>E11+E3+E7+E4</f>
        <v>3150</v>
      </c>
      <c r="F13" s="5"/>
      <c r="K13" s="10"/>
    </row>
    <row r="14" spans="2:11" x14ac:dyDescent="0.3">
      <c r="B14" s="24"/>
      <c r="C14" s="9"/>
      <c r="D14" s="18"/>
      <c r="E14" s="5"/>
    </row>
    <row r="15" spans="2:11" x14ac:dyDescent="0.3">
      <c r="B15" s="24"/>
      <c r="C15" s="9"/>
      <c r="D15" s="20" t="s">
        <v>12</v>
      </c>
      <c r="E15" s="5">
        <f>(E3+E11)*0.04</f>
        <v>126</v>
      </c>
    </row>
    <row r="16" spans="2:11" x14ac:dyDescent="0.3">
      <c r="B16" s="24"/>
      <c r="C16" s="9"/>
      <c r="D16" s="18"/>
      <c r="E16" s="5"/>
    </row>
    <row r="17" spans="2:6" x14ac:dyDescent="0.3">
      <c r="B17" s="24"/>
      <c r="C17" s="9"/>
      <c r="D17" s="20" t="s">
        <v>13</v>
      </c>
      <c r="E17" s="5">
        <f>(E3+E11+E15)*0.22</f>
        <v>720.72</v>
      </c>
    </row>
    <row r="18" spans="2:6" x14ac:dyDescent="0.3">
      <c r="B18" s="24"/>
      <c r="C18" s="9"/>
      <c r="D18" s="20"/>
      <c r="E18" s="5"/>
    </row>
    <row r="19" spans="2:6" x14ac:dyDescent="0.3">
      <c r="B19" s="24"/>
      <c r="C19" s="9"/>
      <c r="D19" s="20" t="s">
        <v>14</v>
      </c>
      <c r="E19" s="5">
        <f>(E3+E11)*0.2</f>
        <v>630</v>
      </c>
    </row>
    <row r="20" spans="2:6" x14ac:dyDescent="0.3">
      <c r="B20" s="24"/>
      <c r="C20" s="9"/>
      <c r="D20" s="4"/>
      <c r="E20" s="9"/>
    </row>
    <row r="21" spans="2:6" x14ac:dyDescent="0.3">
      <c r="B21" s="9"/>
      <c r="C21" s="9"/>
      <c r="D21" s="4"/>
      <c r="E21" s="21"/>
    </row>
    <row r="22" spans="2:6" x14ac:dyDescent="0.3">
      <c r="B22" s="20" t="s">
        <v>15</v>
      </c>
      <c r="C22" s="9"/>
      <c r="D22" s="4"/>
      <c r="E22" s="22">
        <f>E13+E15+E17-E19</f>
        <v>3366.7200000000003</v>
      </c>
      <c r="F22" s="5"/>
    </row>
  </sheetData>
  <mergeCells count="1">
    <mergeCell ref="B3:B20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Chiara Ballerini</dc:creator>
  <cp:lastModifiedBy>Chiara Ballerini</cp:lastModifiedBy>
  <dcterms:created xsi:type="dcterms:W3CDTF">2025-02-06T10:09:09Z</dcterms:created>
  <dcterms:modified xsi:type="dcterms:W3CDTF">2025-09-03T15:04:38Z</dcterms:modified>
</cp:coreProperties>
</file>