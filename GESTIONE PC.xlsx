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76CD093-AF42-420C-BDD3-CF46F1D93202}" xr6:coauthVersionLast="47" xr6:coauthVersionMax="47" xr10:uidLastSave="{00000000-0000-0000-0000-000000000000}"/>
  <bookViews>
    <workbookView xWindow="0" yWindow="1290" windowWidth="21600" windowHeight="11235" xr2:uid="{00000000-000D-0000-FFFF-FFFF00000000}"/>
  </bookViews>
  <sheets>
    <sheet name="GESTIONE PC DA REMOTO" sheetId="1" r:id="rId1"/>
  </sheets>
  <definedNames>
    <definedName name="_xlnm._FilterDatabase" localSheetId="0" hidden="1">'GESTIONE PC DA REMOTO'!$A$2:$I$2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4" i="1"/>
  <c r="A5" i="1"/>
  <c r="A6" i="1"/>
  <c r="A7" i="1"/>
  <c r="A8" i="1"/>
  <c r="A10" i="1"/>
  <c r="A9" i="1"/>
  <c r="A12" i="1"/>
  <c r="A11" i="1"/>
  <c r="A13" i="1"/>
  <c r="A14" i="1"/>
  <c r="A15" i="1"/>
  <c r="A16" i="1"/>
  <c r="A17" i="1"/>
  <c r="A18" i="1"/>
  <c r="A19" i="1"/>
  <c r="A21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C4" authorId="0" shapeId="0" xr:uid="{00000000-0006-0000-0000-000001000000}">
      <text>
        <r>
          <rPr>
            <b/>
            <sz val="20"/>
            <color indexed="81"/>
            <rFont val="Tahoma"/>
            <family val="2"/>
          </rPr>
          <t>Chiedere a Romanello</t>
        </r>
      </text>
    </comment>
    <comment ref="C6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Chiedere a Pranzile</t>
        </r>
      </text>
    </comment>
    <comment ref="C8" authorId="0" shapeId="0" xr:uid="{00000000-0006-0000-0000-000003000000}">
      <text>
        <r>
          <rPr>
            <b/>
            <sz val="20"/>
            <color indexed="81"/>
            <rFont val="Tahoma"/>
            <family val="2"/>
          </rPr>
          <t>Chiedere a Pranzile</t>
        </r>
      </text>
    </comment>
    <comment ref="C10" authorId="0" shapeId="0" xr:uid="{00000000-0006-0000-0000-000004000000}">
      <text>
        <r>
          <rPr>
            <b/>
            <sz val="20"/>
            <color indexed="81"/>
            <rFont val="Tahoma"/>
            <family val="2"/>
          </rPr>
          <t>Chiedere a Gori</t>
        </r>
      </text>
    </comment>
    <comment ref="C12" authorId="0" shapeId="0" xr:uid="{00000000-0006-0000-0000-000005000000}">
      <text>
        <r>
          <rPr>
            <b/>
            <sz val="20"/>
            <color indexed="81"/>
            <rFont val="Tahoma"/>
            <family val="2"/>
          </rPr>
          <t>Chiedere a Signorini</t>
        </r>
      </text>
    </comment>
    <comment ref="C14" authorId="0" shapeId="0" xr:uid="{00000000-0006-0000-0000-000006000000}">
      <text>
        <r>
          <rPr>
            <b/>
            <sz val="20"/>
            <color indexed="81"/>
            <rFont val="Tahoma"/>
            <family val="2"/>
          </rPr>
          <t>Chiedere a Pranzile</t>
        </r>
      </text>
    </comment>
  </commentList>
</comments>
</file>

<file path=xl/sharedStrings.xml><?xml version="1.0" encoding="utf-8"?>
<sst xmlns="http://schemas.openxmlformats.org/spreadsheetml/2006/main" count="144" uniqueCount="103">
  <si>
    <t>disegnatore07</t>
  </si>
  <si>
    <t>ID COMPUTER</t>
  </si>
  <si>
    <t>UTENTE INGEGNO</t>
  </si>
  <si>
    <t>INDIRIZZO IP</t>
  </si>
  <si>
    <t>PSW UTENTE</t>
  </si>
  <si>
    <t>disegnatore09</t>
  </si>
  <si>
    <t>Ingegnocad*07</t>
  </si>
  <si>
    <t>Ingegnocad*09</t>
  </si>
  <si>
    <t>Ingegnocad*08</t>
  </si>
  <si>
    <t>disegnatore08</t>
  </si>
  <si>
    <t>STATO</t>
  </si>
  <si>
    <t>UTILIZZATORE</t>
  </si>
  <si>
    <t>GESTIONE PC CONDIVISI DA REMOTO</t>
  </si>
  <si>
    <t>SALVARE E CHIUDERE IL FILE EXCEL</t>
  </si>
  <si>
    <t>Ingegnocad*10</t>
  </si>
  <si>
    <t>Ingegnocad*11</t>
  </si>
  <si>
    <t>Ingegnocad*12</t>
  </si>
  <si>
    <t>Ingegnocad*13</t>
  </si>
  <si>
    <t>disegnatore10</t>
  </si>
  <si>
    <t>disegnatore11</t>
  </si>
  <si>
    <t>disegnatore12</t>
  </si>
  <si>
    <t>disegnatore13</t>
  </si>
  <si>
    <t>ING_PC_12</t>
  </si>
  <si>
    <t>192.168.10.227</t>
  </si>
  <si>
    <t>ING_WSN_08</t>
  </si>
  <si>
    <t>192.168.10.208</t>
  </si>
  <si>
    <t>PROGRAMMI INSTALLATI</t>
  </si>
  <si>
    <t>disegnatore03</t>
  </si>
  <si>
    <t>Ingegnocad*03</t>
  </si>
  <si>
    <t>ING_WSN_11</t>
  </si>
  <si>
    <t>disegnatore01</t>
  </si>
  <si>
    <t>Ingegnocad*01</t>
  </si>
  <si>
    <t>192.168.10.211</t>
  </si>
  <si>
    <t>ING_WSN_01</t>
  </si>
  <si>
    <t>disegnatore05</t>
  </si>
  <si>
    <t>Ingegnocad*05</t>
  </si>
  <si>
    <t>ING_WSN_07</t>
  </si>
  <si>
    <t>192.168.10.207</t>
  </si>
  <si>
    <t>ING_WSN_10</t>
  </si>
  <si>
    <t>192.168.10.210</t>
  </si>
  <si>
    <t>disegnatore06</t>
  </si>
  <si>
    <t>Ingegnocad*06</t>
  </si>
  <si>
    <t>ING_WSN_06</t>
  </si>
  <si>
    <t>192.168.10.206</t>
  </si>
  <si>
    <t>ING_WSN_02</t>
  </si>
  <si>
    <t>192.168.10.202</t>
  </si>
  <si>
    <t>disegnatore02</t>
  </si>
  <si>
    <t>Ingegnocad*02</t>
  </si>
  <si>
    <t>ING_WSN_04</t>
  </si>
  <si>
    <t>192.168.10.204</t>
  </si>
  <si>
    <t>disegnatore04</t>
  </si>
  <si>
    <t>Ingegnocad*04</t>
  </si>
  <si>
    <t>ING_PC_13</t>
  </si>
  <si>
    <t>ING_WSN_05</t>
  </si>
  <si>
    <t>ING_WSN_09</t>
  </si>
  <si>
    <t>ING_WSN_03</t>
  </si>
  <si>
    <t>LICENZA AUTODESK</t>
  </si>
  <si>
    <t>AEC Collection</t>
  </si>
  <si>
    <t>Autocad LT</t>
  </si>
  <si>
    <t>192.168.10.226</t>
  </si>
  <si>
    <t>192.168.10.205</t>
  </si>
  <si>
    <t>168.192.10.203</t>
  </si>
  <si>
    <t>192.168.10.209</t>
  </si>
  <si>
    <t>REVIT</t>
  </si>
  <si>
    <t>AUTOCAD</t>
  </si>
  <si>
    <t>REVIT 25/24/23 - AUTOCAD 26</t>
  </si>
  <si>
    <t>LUIGI COLANGELO</t>
  </si>
  <si>
    <t>MATTEO GORI</t>
  </si>
  <si>
    <t>LEONARDO SIGNORINI</t>
  </si>
  <si>
    <t>RICCARDO OSTUNI</t>
  </si>
  <si>
    <r>
      <t xml:space="preserve">Per accedere in desktop remoto ai PC condivisi utilizzare le credenziali Ingegno associate al dispositivo. La colonna STATO indica se il PC è in uso o meno, cioè se è inserito un UTILIZZATORE nell'apposito spazio della tabella.
</t>
    </r>
    <r>
      <rPr>
        <b/>
        <sz val="12"/>
        <color theme="1"/>
        <rFont val="Calibri"/>
        <family val="2"/>
        <scheme val="minor"/>
      </rPr>
      <t>Si ricorda di scrivere il proprio nome nella colonna UTILIZZATORE prima di accedere al PC e di cancellare lo spazio una volta terminata la sessione.
Per le macchine con licenza AEC Collection si prega di contattare il resonsabile della licenza e segnare con una X se si utilizza Autocad o Revit, in modo da gestire al meglio le licenze condivise e poter utilizzare le macchine con lo stesso disegnatore assegnato.</t>
    </r>
  </si>
  <si>
    <t>ING_WSN_12</t>
  </si>
  <si>
    <t>192.168.10.212</t>
  </si>
  <si>
    <t>ING_WSN_14</t>
  </si>
  <si>
    <t>192.168.10.214</t>
  </si>
  <si>
    <t>ING_WSN_13</t>
  </si>
  <si>
    <t>192.168.10.213</t>
  </si>
  <si>
    <t>ING_WSN_16</t>
  </si>
  <si>
    <t>192.168.10.216</t>
  </si>
  <si>
    <t>ING_WSN_15</t>
  </si>
  <si>
    <t>192.168.10.215</t>
  </si>
  <si>
    <t xml:space="preserve"> 192.168.10.201</t>
  </si>
  <si>
    <t>AUTOCAD LT 26</t>
  </si>
  <si>
    <t>AUTOCAD LT 26 - PROJECT</t>
  </si>
  <si>
    <t>AUTOCAD LT 26 - EDILUS</t>
  </si>
  <si>
    <t>ING_PC_16</t>
  </si>
  <si>
    <t>192.168.10.236</t>
  </si>
  <si>
    <t>REVIT 26/25/24/23 - AUTOCAD 26</t>
  </si>
  <si>
    <t>ANDREA ROMANELLO</t>
  </si>
  <si>
    <t>DANIELE PRANZILE</t>
  </si>
  <si>
    <t>REVIT 25/24/23 - AUTOCAD 26 - PHOTOSHOP 2026 - LIGHTROOM</t>
  </si>
  <si>
    <t>REVIT 26/25/24/23 (+ V-RAY) - AUTOCAD 26</t>
  </si>
  <si>
    <t>REVIT 25/24/23 - AUTOCAD 26 - X-PAD</t>
  </si>
  <si>
    <t>Leonardo Signorini</t>
  </si>
  <si>
    <t>Sabatini</t>
  </si>
  <si>
    <t>Rocchini</t>
  </si>
  <si>
    <t>Rossi</t>
  </si>
  <si>
    <t>Critelli</t>
  </si>
  <si>
    <t>Calugi</t>
  </si>
  <si>
    <t>x</t>
  </si>
  <si>
    <t>M. Calugi</t>
  </si>
  <si>
    <t>L. Menichetti</t>
  </si>
  <si>
    <t>Luca Stefanelli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</si>
</sst>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e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684712</xdr:colOff>
      <xdr:row>0</xdr:row>
      <xdr:rowOff>68037</xdr:rowOff>
    </xdr:from>
    <xdr:to>
      <xdr:col>1</xdr:col>
      <xdr:colOff>1218112</xdr:colOff>
      <xdr:row>0</xdr:row>
      <xdr:rowOff>1088678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B71C4A1-E1E3-4D6D-B77B-ED8CBF6F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712" y="68037"/>
          <a:ext cx="2002971" cy="1026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zoomScale="70" zoomScaleNormal="70" workbookViewId="0">
      <pane ySplit="1" topLeftCell="A5" activePane="bottomLeft" state="frozen"/>
      <selection pane="bottomLeft" activeCell="C8" sqref="C8"/>
    </sheetView>
  </sheetViews>
  <sheetFormatPr defaultColWidth="34.5703125" defaultRowHeight="23.25" x14ac:dyDescent="0.25"/>
  <cols>
    <col min="1" max="1" width="21.42578125" style="3" customWidth="1"/>
    <col min="2" max="2" width="29.42578125" style="3" customWidth="1"/>
    <col min="3" max="4" width="34.5703125" style="3"/>
    <col min="5" max="5" width="33.42578125" style="3" customWidth="1"/>
    <col min="6" max="6" width="32.42578125" style="3" customWidth="1"/>
    <col min="7" max="7" width="14.5703125" style="3" bestFit="1" customWidth="1"/>
    <col min="8" max="8" width="14" style="3" customWidth="1"/>
    <col min="9" max="9" width="48.28515625" style="3" customWidth="1"/>
    <col min="10" max="10" width="31.5703125" style="4" customWidth="1"/>
    <col min="11" max="16384" width="34.5703125" style="3"/>
  </cols>
  <sheetData>
    <row r="1" spans="1:10" ht="94.5" customHeight="1" x14ac:dyDescent="0.25">
      <c r="A1" s="49"/>
      <c r="B1" s="49"/>
      <c r="C1" s="50" t="s">
        <v>12</v>
      </c>
      <c r="D1" s="50"/>
      <c r="E1" s="51" t="s">
        <v>70</v>
      </c>
      <c r="F1" s="51"/>
      <c r="G1" s="51"/>
      <c r="H1" s="51"/>
      <c r="I1" s="52"/>
      <c r="J1" s="1" t="s">
        <v>13</v>
      </c>
    </row>
    <row r="2" spans="1:10" s="5" customFormat="1" ht="24" thickBot="1" x14ac:dyDescent="0.3">
      <c r="A2" s="8" t="s">
        <v>10</v>
      </c>
      <c r="B2" s="8" t="s">
        <v>1</v>
      </c>
      <c r="C2" s="11" t="s">
        <v>11</v>
      </c>
      <c r="D2" s="8" t="s">
        <v>2</v>
      </c>
      <c r="E2" s="8" t="s">
        <v>4</v>
      </c>
      <c r="F2" s="8" t="s">
        <v>56</v>
      </c>
      <c r="G2" s="8" t="s">
        <v>63</v>
      </c>
      <c r="H2" s="8" t="s">
        <v>64</v>
      </c>
      <c r="I2" s="7" t="s">
        <v>26</v>
      </c>
      <c r="J2" s="8" t="s">
        <v>3</v>
      </c>
    </row>
    <row r="3" spans="1:10" ht="34.9" customHeight="1" thickBot="1" x14ac:dyDescent="0.3">
      <c r="A3" s="13" t="str">
        <f>IF(C3=0,"DISPONIBILE","OCCUPATO")</f>
        <v>OCCUPATO</v>
      </c>
      <c r="B3" s="9" t="s">
        <v>85</v>
      </c>
      <c r="C3" s="12" t="s">
        <v>88</v>
      </c>
      <c r="D3" s="10" t="s">
        <v>30</v>
      </c>
      <c r="E3" s="6" t="s">
        <v>31</v>
      </c>
      <c r="F3" s="6" t="s">
        <v>57</v>
      </c>
      <c r="G3" s="12"/>
      <c r="H3" s="12"/>
      <c r="I3" s="48" t="s">
        <v>87</v>
      </c>
      <c r="J3" s="2" t="s">
        <v>86</v>
      </c>
    </row>
    <row r="4" spans="1:10" ht="34.9" customHeight="1" thickBot="1" x14ac:dyDescent="0.3">
      <c r="A4" s="19" t="str">
        <f t="shared" ref="A4:A21" si="0">IF(C4=0,"DISPONIBILE","OCCUPATO")</f>
        <v>DISPONIBILE</v>
      </c>
      <c r="B4" s="20" t="s">
        <v>29</v>
      </c>
      <c r="C4" s="12"/>
      <c r="D4" s="21" t="s">
        <v>30</v>
      </c>
      <c r="E4" s="22" t="s">
        <v>31</v>
      </c>
      <c r="F4" s="22" t="s">
        <v>57</v>
      </c>
      <c r="G4" s="37"/>
      <c r="H4" s="38"/>
      <c r="I4" s="41" t="s">
        <v>92</v>
      </c>
      <c r="J4" s="23" t="s">
        <v>32</v>
      </c>
    </row>
    <row r="5" spans="1:10" ht="34.9" customHeight="1" thickBot="1" x14ac:dyDescent="0.3">
      <c r="A5" s="14" t="str">
        <f t="shared" si="0"/>
        <v>OCCUPATO</v>
      </c>
      <c r="B5" s="15" t="s">
        <v>53</v>
      </c>
      <c r="C5" s="12" t="s">
        <v>66</v>
      </c>
      <c r="D5" s="16" t="s">
        <v>46</v>
      </c>
      <c r="E5" s="17" t="s">
        <v>47</v>
      </c>
      <c r="F5" s="17" t="s">
        <v>57</v>
      </c>
      <c r="G5" s="36"/>
      <c r="H5" s="39"/>
      <c r="I5" s="42" t="s">
        <v>65</v>
      </c>
      <c r="J5" s="18" t="s">
        <v>60</v>
      </c>
    </row>
    <row r="6" spans="1:10" ht="34.9" customHeight="1" thickBot="1" x14ac:dyDescent="0.3">
      <c r="A6" s="19" t="str">
        <f t="shared" si="0"/>
        <v>OCCUPATO</v>
      </c>
      <c r="B6" s="20" t="s">
        <v>44</v>
      </c>
      <c r="C6" s="12" t="s">
        <v>101</v>
      </c>
      <c r="D6" s="21" t="s">
        <v>46</v>
      </c>
      <c r="E6" s="22" t="s">
        <v>47</v>
      </c>
      <c r="F6" s="22" t="s">
        <v>57</v>
      </c>
      <c r="G6" s="38" t="s">
        <v>99</v>
      </c>
      <c r="H6" s="37"/>
      <c r="I6" s="43" t="s">
        <v>65</v>
      </c>
      <c r="J6" s="23" t="s">
        <v>45</v>
      </c>
    </row>
    <row r="7" spans="1:10" ht="34.9" customHeight="1" thickBot="1" x14ac:dyDescent="0.3">
      <c r="A7" s="14" t="str">
        <f>IF(C7=0,"DISPONIBILE","OCCUPATO")</f>
        <v>OCCUPATO</v>
      </c>
      <c r="B7" s="15" t="s">
        <v>36</v>
      </c>
      <c r="C7" s="12" t="s">
        <v>89</v>
      </c>
      <c r="D7" s="16" t="s">
        <v>27</v>
      </c>
      <c r="E7" s="17" t="s">
        <v>28</v>
      </c>
      <c r="F7" s="17" t="s">
        <v>57</v>
      </c>
      <c r="G7" s="39"/>
      <c r="H7" s="36"/>
      <c r="I7" s="44" t="s">
        <v>65</v>
      </c>
      <c r="J7" s="18" t="s">
        <v>37</v>
      </c>
    </row>
    <row r="8" spans="1:10" ht="34.9" customHeight="1" thickBot="1" x14ac:dyDescent="0.3">
      <c r="A8" s="24" t="str">
        <f t="shared" si="0"/>
        <v>DISPONIBILE</v>
      </c>
      <c r="B8" s="25" t="s">
        <v>75</v>
      </c>
      <c r="C8" s="12"/>
      <c r="D8" s="26" t="s">
        <v>27</v>
      </c>
      <c r="E8" s="27" t="s">
        <v>28</v>
      </c>
      <c r="F8" s="27" t="s">
        <v>57</v>
      </c>
      <c r="G8" s="37"/>
      <c r="H8" s="37"/>
      <c r="I8" s="45" t="s">
        <v>65</v>
      </c>
      <c r="J8" s="34" t="s">
        <v>76</v>
      </c>
    </row>
    <row r="9" spans="1:10" ht="34.9" customHeight="1" thickBot="1" x14ac:dyDescent="0.3">
      <c r="A9" s="29" t="str">
        <f>IF(C9=0,"DISPONIBILE","OCCUPATO")</f>
        <v>OCCUPATO</v>
      </c>
      <c r="B9" s="30" t="s">
        <v>55</v>
      </c>
      <c r="C9" s="12" t="s">
        <v>67</v>
      </c>
      <c r="D9" s="31" t="s">
        <v>50</v>
      </c>
      <c r="E9" s="32" t="s">
        <v>51</v>
      </c>
      <c r="F9" s="32" t="s">
        <v>57</v>
      </c>
      <c r="G9" s="36"/>
      <c r="H9" s="36"/>
      <c r="I9" s="42" t="s">
        <v>65</v>
      </c>
      <c r="J9" s="33" t="s">
        <v>61</v>
      </c>
    </row>
    <row r="10" spans="1:10" ht="34.9" customHeight="1" thickBot="1" x14ac:dyDescent="0.3">
      <c r="A10" s="24" t="str">
        <f t="shared" si="0"/>
        <v>DISPONIBILE</v>
      </c>
      <c r="B10" s="25" t="s">
        <v>54</v>
      </c>
      <c r="C10" s="12"/>
      <c r="D10" s="26" t="s">
        <v>50</v>
      </c>
      <c r="E10" s="27" t="s">
        <v>51</v>
      </c>
      <c r="F10" s="27" t="s">
        <v>57</v>
      </c>
      <c r="G10" s="37"/>
      <c r="H10" s="37"/>
      <c r="I10" s="41" t="s">
        <v>65</v>
      </c>
      <c r="J10" s="28" t="s">
        <v>62</v>
      </c>
    </row>
    <row r="11" spans="1:10" ht="34.9" customHeight="1" thickBot="1" x14ac:dyDescent="0.3">
      <c r="A11" s="29" t="str">
        <f>IF(C11=0,"DISPONIBILE","OCCUPATO")</f>
        <v>OCCUPATO</v>
      </c>
      <c r="B11" s="30" t="s">
        <v>38</v>
      </c>
      <c r="C11" s="12" t="s">
        <v>68</v>
      </c>
      <c r="D11" s="31" t="s">
        <v>34</v>
      </c>
      <c r="E11" s="32" t="s">
        <v>35</v>
      </c>
      <c r="F11" s="32" t="s">
        <v>57</v>
      </c>
      <c r="G11" s="36"/>
      <c r="H11" s="36"/>
      <c r="I11" s="46" t="s">
        <v>65</v>
      </c>
      <c r="J11" s="35" t="s">
        <v>39</v>
      </c>
    </row>
    <row r="12" spans="1:10" ht="34.9" customHeight="1" thickBot="1" x14ac:dyDescent="0.3">
      <c r="A12" s="24" t="str">
        <f>IF(C12=0,"DISPONIBILE","OCCUPATO")</f>
        <v>OCCUPATO</v>
      </c>
      <c r="B12" s="25" t="s">
        <v>79</v>
      </c>
      <c r="C12" s="12" t="s">
        <v>93</v>
      </c>
      <c r="D12" s="26" t="s">
        <v>34</v>
      </c>
      <c r="E12" s="27" t="s">
        <v>35</v>
      </c>
      <c r="F12" s="27" t="s">
        <v>57</v>
      </c>
      <c r="G12" s="38"/>
      <c r="H12" s="37"/>
      <c r="I12" s="41" t="s">
        <v>90</v>
      </c>
      <c r="J12" s="28" t="s">
        <v>80</v>
      </c>
    </row>
    <row r="13" spans="1:10" ht="34.9" customHeight="1" thickBot="1" x14ac:dyDescent="0.3">
      <c r="A13" s="29" t="str">
        <f t="shared" si="0"/>
        <v>OCCUPATO</v>
      </c>
      <c r="B13" s="30" t="s">
        <v>42</v>
      </c>
      <c r="C13" s="12" t="s">
        <v>69</v>
      </c>
      <c r="D13" s="31" t="s">
        <v>40</v>
      </c>
      <c r="E13" s="32" t="s">
        <v>41</v>
      </c>
      <c r="F13" s="32" t="s">
        <v>57</v>
      </c>
      <c r="G13" s="39"/>
      <c r="H13" s="36"/>
      <c r="I13" s="47" t="s">
        <v>65</v>
      </c>
      <c r="J13" s="33" t="s">
        <v>43</v>
      </c>
    </row>
    <row r="14" spans="1:10" ht="34.9" customHeight="1" thickBot="1" x14ac:dyDescent="0.3">
      <c r="A14" s="24" t="str">
        <f t="shared" si="0"/>
        <v>OCCUPATO</v>
      </c>
      <c r="B14" s="25" t="s">
        <v>77</v>
      </c>
      <c r="C14" s="12" t="s">
        <v>100</v>
      </c>
      <c r="D14" s="26" t="s">
        <v>40</v>
      </c>
      <c r="E14" s="27" t="s">
        <v>41</v>
      </c>
      <c r="F14" s="27" t="s">
        <v>57</v>
      </c>
      <c r="G14" s="38" t="s">
        <v>99</v>
      </c>
      <c r="H14" s="38"/>
      <c r="I14" s="44" t="s">
        <v>91</v>
      </c>
      <c r="J14" s="28" t="s">
        <v>78</v>
      </c>
    </row>
    <row r="15" spans="1:10" ht="34.9" customHeight="1" thickBot="1" x14ac:dyDescent="0.3">
      <c r="A15" s="29" t="str">
        <f t="shared" si="0"/>
        <v>OCCUPATO</v>
      </c>
      <c r="B15" s="30" t="s">
        <v>33</v>
      </c>
      <c r="C15" s="12" t="s">
        <v>95</v>
      </c>
      <c r="D15" s="31" t="s">
        <v>0</v>
      </c>
      <c r="E15" s="32" t="s">
        <v>6</v>
      </c>
      <c r="F15" s="32" t="s">
        <v>58</v>
      </c>
      <c r="G15" s="53"/>
      <c r="H15" s="54"/>
      <c r="I15" s="40" t="s">
        <v>82</v>
      </c>
      <c r="J15" s="33" t="s">
        <v>81</v>
      </c>
    </row>
    <row r="16" spans="1:10" ht="34.9" customHeight="1" thickBot="1" x14ac:dyDescent="0.3">
      <c r="A16" s="13" t="str">
        <f t="shared" si="0"/>
        <v>OCCUPATO</v>
      </c>
      <c r="B16" s="9" t="s">
        <v>48</v>
      </c>
      <c r="C16" s="12" t="s">
        <v>97</v>
      </c>
      <c r="D16" s="10" t="s">
        <v>9</v>
      </c>
      <c r="E16" s="6" t="s">
        <v>8</v>
      </c>
      <c r="F16" s="6" t="s">
        <v>58</v>
      </c>
      <c r="G16" s="55"/>
      <c r="H16" s="56"/>
      <c r="I16" s="40" t="s">
        <v>82</v>
      </c>
      <c r="J16" s="2" t="s">
        <v>49</v>
      </c>
    </row>
    <row r="17" spans="1:10" ht="34.9" customHeight="1" thickBot="1" x14ac:dyDescent="0.3">
      <c r="A17" s="13" t="str">
        <f t="shared" si="0"/>
        <v>DISPONIBILE</v>
      </c>
      <c r="B17" s="9" t="s">
        <v>71</v>
      </c>
      <c r="C17" s="12"/>
      <c r="D17" s="10" t="s">
        <v>5</v>
      </c>
      <c r="E17" s="6" t="s">
        <v>7</v>
      </c>
      <c r="F17" s="6" t="s">
        <v>58</v>
      </c>
      <c r="G17" s="55"/>
      <c r="H17" s="56"/>
      <c r="I17" s="40" t="s">
        <v>83</v>
      </c>
      <c r="J17" s="2" t="s">
        <v>72</v>
      </c>
    </row>
    <row r="18" spans="1:10" ht="34.9" customHeight="1" thickBot="1" x14ac:dyDescent="0.3">
      <c r="A18" s="13" t="str">
        <f t="shared" si="0"/>
        <v>OCCUPATO</v>
      </c>
      <c r="B18" s="9" t="s">
        <v>73</v>
      </c>
      <c r="C18" s="12" t="s">
        <v>102</v>
      </c>
      <c r="D18" s="10" t="s">
        <v>18</v>
      </c>
      <c r="E18" s="6" t="s">
        <v>14</v>
      </c>
      <c r="F18" s="6" t="s">
        <v>58</v>
      </c>
      <c r="G18" s="55"/>
      <c r="H18" s="56"/>
      <c r="I18" s="40" t="s">
        <v>82</v>
      </c>
      <c r="J18" s="2" t="s">
        <v>74</v>
      </c>
    </row>
    <row r="19" spans="1:10" ht="34.9" customHeight="1" thickBot="1" x14ac:dyDescent="0.3">
      <c r="A19" s="13" t="str">
        <f t="shared" si="0"/>
        <v>OCCUPATO</v>
      </c>
      <c r="B19" s="9" t="s">
        <v>52</v>
      </c>
      <c r="C19" s="12" t="s">
        <v>96</v>
      </c>
      <c r="D19" s="10" t="s">
        <v>19</v>
      </c>
      <c r="E19" s="6" t="s">
        <v>15</v>
      </c>
      <c r="F19" s="6" t="s">
        <v>58</v>
      </c>
      <c r="G19" s="55"/>
      <c r="H19" s="56"/>
      <c r="I19" s="40" t="s">
        <v>84</v>
      </c>
      <c r="J19" s="2" t="s">
        <v>59</v>
      </c>
    </row>
    <row r="20" spans="1:10" ht="34.9" customHeight="1" thickBot="1" x14ac:dyDescent="0.3">
      <c r="A20" s="13" t="str">
        <f t="shared" si="0"/>
        <v>OCCUPATO</v>
      </c>
      <c r="B20" s="9" t="s">
        <v>22</v>
      </c>
      <c r="C20" s="12" t="s">
        <v>98</v>
      </c>
      <c r="D20" s="10" t="s">
        <v>20</v>
      </c>
      <c r="E20" s="6" t="s">
        <v>16</v>
      </c>
      <c r="F20" s="6" t="s">
        <v>58</v>
      </c>
      <c r="G20" s="55"/>
      <c r="H20" s="56"/>
      <c r="I20" s="40" t="s">
        <v>84</v>
      </c>
      <c r="J20" s="2" t="s">
        <v>23</v>
      </c>
    </row>
    <row r="21" spans="1:10" ht="34.9" customHeight="1" thickBot="1" x14ac:dyDescent="0.3">
      <c r="A21" s="13" t="str">
        <f t="shared" si="0"/>
        <v>OCCUPATO</v>
      </c>
      <c r="B21" s="9" t="s">
        <v>24</v>
      </c>
      <c r="C21" s="12" t="s">
        <v>94</v>
      </c>
      <c r="D21" s="10" t="s">
        <v>21</v>
      </c>
      <c r="E21" s="6" t="s">
        <v>17</v>
      </c>
      <c r="F21" s="6" t="s">
        <v>58</v>
      </c>
      <c r="G21" s="57"/>
      <c r="H21" s="58"/>
      <c r="I21" s="40" t="s">
        <v>82</v>
      </c>
      <c r="J21" s="2" t="s">
        <v>25</v>
      </c>
    </row>
  </sheetData>
  <sheetProtection sheet="1" objects="1" scenarios="1"/>
  <protectedRanges>
    <protectedRange sqref="G3:H14" name="Intervallo2"/>
    <protectedRange sqref="C3:C21" name="Intervallo1"/>
  </protectedRanges>
  <autoFilter ref="A2:J2" xr:uid="{00000000-0009-0000-0000-000000000000}"/>
  <mergeCells count="4">
    <mergeCell ref="A1:B1"/>
    <mergeCell ref="C1:D1"/>
    <mergeCell ref="E1:I1"/>
    <mergeCell ref="G15:H21"/>
  </mergeCells>
  <phoneticPr fontId="7" type="noConversion"/>
  <conditionalFormatting sqref="A3:A21">
    <cfRule type="containsText" dxfId="0" priority="3" operator="containsText" text="DISPONIBILE">
      <formula>NOT(ISERROR(SEARCH("DISPONIBILE",A3)))</formula>
    </cfRule>
  </conditionalFormatting>
  <pageMargins left="0.7" right="0.7" top="0.75" bottom="0.75" header="0.3" footer="0.3"/>
  <pageSetup paperSize="8" scale="6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GESTIONE PC DA REMOTO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2026-06-19T12:51:09Z</dcterms:modified>
</cp:coreProperties>
</file>